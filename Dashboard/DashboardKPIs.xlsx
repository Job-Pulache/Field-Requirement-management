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23A1EAF0-EFFA-4324-92FD-4F55CA695B3A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3" l="1"/>
  <c r="G7" i="3"/>
  <c r="G6" i="3"/>
  <c r="G5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<sst xmlns="http://schemas.openxmlformats.org/spreadsheetml/2006/main" count="185" uniqueCount="71">
  <si>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</si>
  <si>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</si>
  <si>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</si>
  <si>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</si>
  <si>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</si>
  <si>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</si>
  <si>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</si>
  <si>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</si>
  <si>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</si>
  <si>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</si>
  <si>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</si>
  <si>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</si>
  <si>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</si>
  <si>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</si>
  <si>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</si>
  <si>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</si>
  <si>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</si>
  <si>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</si>
  <si>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</si>
  <si>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</si>
  <si>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</si>
  <si>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</si>
  <si>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</si>
  <si>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</si>
  <si>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</si>
  <si>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</si>
  <si>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</si>
  <si>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</si>
  <si>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</si>
  <si>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</si>
  <si>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</si>
  <si>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</si>
  <si>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</si>
  <si>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</si>
  <si>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</si>
  <si>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</si>
  <si>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</si>
  <si>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</si>
  <si>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</si>
  <si>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</si>
  <si>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</si>
  <si>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</si>
  <si>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</si>
  <si>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</si>
  <si>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</si>
  <si>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</si>
  <si>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</si>
  <si>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</si>
  <si>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</si>
  <si>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</si>
  <si>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</si>
  <si>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</si>
  <si>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</si>
  <si>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</si>
  <si>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</si>
  <si>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</si>
  <si>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</si>
  <si>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</si>
  <si>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</si>
  <si>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</si>
  <si>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</si>
  <si>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</si>
  <si>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</si>
  <si>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</si>
  <si>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</si>
  <si>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</si>
  <si>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</si>
  <si>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</si>
  <si>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Request by area</t>
  </si>
  <si>
    <t>Field operation</t>
  </si>
  <si>
    <t>Field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</si>
</sst>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0" xfId="0" quotePrefix="1"/>
    <xf numFmtId="9" fontId="0" fillId="0" borderId="0" xfId="1" applyFont="1"/>
    <xf numFmtId="166" fontId="0" fillId="0" borderId="0" xfId="1" applyNumberFormat="1" applyFont="1"/>
    <xf numFmtId="9" fontId="0" fillId="0" borderId="0" xfId="0" applyNumberFormat="1"/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C4" sqref="C4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6" t="s">
        <v>64</v>
      </c>
      <c r="B1" s="7"/>
      <c r="C1" s="7"/>
      <c r="D1" s="7"/>
      <c r="E1" s="7"/>
      <c r="F1" s="7"/>
      <c r="G1" s="7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70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70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70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70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70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70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9">
        <v>26</v>
      </c>
      <c r="G32" s="1" t="s">
        <v>58</v>
      </c>
    </row>
    <row r="33" spans="4:7" x14ac:dyDescent="0.3">
      <c r="D33" s="5"/>
      <c r="G33" s="8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H9"/>
  <sheetViews>
    <sheetView tabSelected="1" workbookViewId="0">
      <selection activeCell="H7" sqref="H7"/>
    </sheetView>
  </sheetViews>
  <sheetFormatPr defaultRowHeight="14.4" x14ac:dyDescent="0.3"/>
  <cols>
    <col min="2" max="2" width="21.109375" bestFit="1" customWidth="1"/>
    <col min="3" max="3" width="4.5546875" bestFit="1" customWidth="1"/>
  </cols>
  <sheetData>
    <row r="2" spans="2:8" ht="25.2" x14ac:dyDescent="0.5">
      <c r="B2" s="14" t="s">
        <v>65</v>
      </c>
      <c r="C2" s="15"/>
      <c r="D2" s="15"/>
      <c r="E2" s="15"/>
      <c r="F2" s="15"/>
      <c r="G2" s="15"/>
      <c r="H2" s="15"/>
    </row>
    <row r="4" spans="2:8" x14ac:dyDescent="0.3">
      <c r="B4" t="s">
        <v>62</v>
      </c>
      <c r="C4">
        <f>COUNTA(DATA!A3:A32)</f>
        <v>30</v>
      </c>
      <c r="E4" s="16" t="s">
        <v>68</v>
      </c>
      <c r="F4" s="16"/>
      <c r="G4" s="16"/>
      <c r="H4" s="16"/>
    </row>
    <row r="5" spans="2:8" x14ac:dyDescent="0.3">
      <c r="B5" t="s">
        <v>7</v>
      </c>
      <c r="C5">
        <f>COUNTIF(DATA!E3:E32,"Approved")</f>
        <v>19</v>
      </c>
      <c r="E5" t="s">
        <v>69</v>
      </c>
      <c r="G5">
        <f>COUNTIF(DATA!C3:C32,"Field Operations")</f>
        <v>6</v>
      </c>
    </row>
    <row r="6" spans="2:8" x14ac:dyDescent="0.3">
      <c r="B6" t="s">
        <v>23</v>
      </c>
      <c r="C6">
        <f>COUNTIF(DATA!E3:E32,"Rejected")</f>
        <v>11</v>
      </c>
      <c r="E6" t="s">
        <v>21</v>
      </c>
      <c r="G6">
        <f>COUNTIF(DATA!C3:C32,"Logistics")</f>
        <v>9</v>
      </c>
    </row>
    <row r="7" spans="2:8" x14ac:dyDescent="0.3">
      <c r="B7" t="s">
        <v>63</v>
      </c>
      <c r="C7" s="11">
        <f>C5/C4</f>
        <v>0.6333333333333333</v>
      </c>
      <c r="E7" t="s">
        <v>25</v>
      </c>
      <c r="G7">
        <f>COUNTIF(DATA!C3:C32,"Packaging")</f>
        <v>9</v>
      </c>
    </row>
    <row r="8" spans="2:8" x14ac:dyDescent="0.3">
      <c r="B8" t="s">
        <v>66</v>
      </c>
      <c r="C8" s="12">
        <f>AVERAGE(DATA!F3:F32)</f>
        <v>23.533333333333335</v>
      </c>
      <c r="E8" t="s">
        <v>30</v>
      </c>
      <c r="G8">
        <f>COUNTIF(DATA!C3:C32,"Administration")</f>
        <v>6</v>
      </c>
    </row>
    <row r="9" spans="2:8" x14ac:dyDescent="0.3">
      <c r="B9" t="s">
        <v>67</v>
      </c>
      <c r="C9" s="13">
        <f>COUNTIF(DATA!F3:F32,"&lt;=24")/Dashboard!C4</f>
        <v>0.6</v>
      </c>
    </row>
  </sheetData>
  <mergeCells count="2">
    <mergeCell ref="B2:H2"/>
    <mergeCell ref="E4:H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6" t="s">
        <v>12</v>
      </c>
      <c r="C1" s="7"/>
      <c r="D1" s="7"/>
      <c r="E1" s="7"/>
      <c r="F1" s="7"/>
      <c r="G1" s="7"/>
      <c r="H1" s="7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10" t="s">
        <v>13</v>
      </c>
      <c r="C3" s="10" t="s">
        <v>14</v>
      </c>
      <c r="D3" s="10" t="s">
        <v>16</v>
      </c>
      <c r="E3" s="10" t="s">
        <v>15</v>
      </c>
      <c r="F3" s="10" t="s">
        <v>17</v>
      </c>
      <c r="G3" s="10" t="s">
        <v>18</v>
      </c>
      <c r="H3" s="10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2026-06-08T18:24:47Z</dcterms:modified>
</cp:coreProperties>
</file>