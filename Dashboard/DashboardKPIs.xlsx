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62670EEF-56BB-4D23-AF05-9702199F9B84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3" l="1"/>
  <c r="I5" i="3"/>
  <c r="I4" i="3"/>
  <c r="I3" i="3"/>
  <c r="F6" i="3"/>
  <c r="F5" i="3"/>
  <c r="F4" i="3"/>
  <c r="F3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<sst xmlns="http://schemas.openxmlformats.org/spreadsheetml/2006/main" count="190" uniqueCount="72">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</sst>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6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 applyBorder="1" applyAlignment="1"/>
    <xf numFmtId="0" fontId="6" fillId="0" borderId="0" xfId="0" applyFont="1" applyBorder="1" applyAlignment="1">
      <alignment horizontal="center"/>
    </xf>
    <xf numFmtId="0" fontId="6" fillId="0" borderId="1" xfId="0" applyFont="1" applyBorder="1" applyAlignment="1"/>
    <xf numFmtId="0" fontId="0" fillId="0" borderId="1" xfId="0" applyBorder="1" applyAlignment="1">
      <alignment horizontal="left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9</xdr:row>
      <xdr:rowOff>171450</xdr:rowOff>
    </xdr:from>
    <xdr:to>
      <xdr:col>4</xdr:col>
      <xdr:colOff>891540</xdr:colOff>
      <xdr:row>24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64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9">
        <v>26</v>
      </c>
      <c r="G32" s="1" t="s">
        <v>58</v>
      </c>
    </row>
    <row r="33" spans="4:7" x14ac:dyDescent="0.3">
      <c r="D33" s="5"/>
      <c r="G33" s="8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K9"/>
  <sheetViews>
    <sheetView tabSelected="1" workbookViewId="0">
      <selection activeCell="H17" sqref="H17"/>
    </sheetView>
  </sheetViews>
  <sheetFormatPr defaultRowHeight="14.4" x14ac:dyDescent="0.3"/>
  <cols>
    <col min="2" max="2" width="29.33203125" bestFit="1" customWidth="1"/>
    <col min="3" max="3" width="4.55468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</cols>
  <sheetData>
    <row r="2" spans="2:11" ht="25.2" x14ac:dyDescent="0.5">
      <c r="B2" s="16" t="s">
        <v>65</v>
      </c>
      <c r="C2" s="16"/>
      <c r="D2" s="14"/>
      <c r="E2" s="16" t="s">
        <v>70</v>
      </c>
      <c r="F2" s="16"/>
      <c r="G2" s="15"/>
      <c r="H2" s="16" t="s">
        <v>71</v>
      </c>
      <c r="I2" s="16"/>
      <c r="J2" s="15"/>
      <c r="K2" s="15"/>
    </row>
    <row r="3" spans="2:11" x14ac:dyDescent="0.3">
      <c r="B3" s="1"/>
      <c r="C3" s="1"/>
      <c r="E3" s="1" t="s">
        <v>68</v>
      </c>
      <c r="F3" s="1">
        <f>COUNTIF(DATA!C3:C32,"Field Operations")</f>
        <v>6</v>
      </c>
      <c r="H3" s="17" t="s">
        <v>32</v>
      </c>
      <c r="I3" s="1">
        <f>COUNTIF(DATA!D3:D32,"Materials")</f>
        <v>8</v>
      </c>
    </row>
    <row r="4" spans="2:11" x14ac:dyDescent="0.3">
      <c r="B4" s="1" t="s">
        <v>62</v>
      </c>
      <c r="C4" s="1">
        <f>COUNTA(DATA!A3:A32)</f>
        <v>30</v>
      </c>
      <c r="E4" s="1" t="s">
        <v>21</v>
      </c>
      <c r="F4" s="1">
        <f>COUNTIF(DATA!C3:C32,"Logistics")</f>
        <v>9</v>
      </c>
      <c r="H4" s="17" t="s">
        <v>60</v>
      </c>
      <c r="I4" s="1">
        <f>COUNTIF(DATA!D3:D32,"Personnel")</f>
        <v>6</v>
      </c>
    </row>
    <row r="5" spans="2:11" x14ac:dyDescent="0.3">
      <c r="B5" s="1" t="s">
        <v>7</v>
      </c>
      <c r="C5" s="1">
        <f>COUNTIF(DATA!E3:E32,"Approved")</f>
        <v>19</v>
      </c>
      <c r="E5" s="1" t="s">
        <v>25</v>
      </c>
      <c r="F5" s="1">
        <f>COUNTIF(DATA!C3:C32,"Packaging")</f>
        <v>9</v>
      </c>
      <c r="H5" s="17" t="s">
        <v>22</v>
      </c>
      <c r="I5" s="1">
        <f>COUNTIF(DATA!D3:D32,"Equipment")</f>
        <v>10</v>
      </c>
    </row>
    <row r="6" spans="2:11" x14ac:dyDescent="0.3">
      <c r="B6" s="1" t="s">
        <v>23</v>
      </c>
      <c r="C6" s="1">
        <f>COUNTIF(DATA!E3:E32,"Rejected")</f>
        <v>11</v>
      </c>
      <c r="E6" s="1" t="s">
        <v>30</v>
      </c>
      <c r="F6" s="1">
        <f>COUNTIF(DATA!C3:C32,"Administration")</f>
        <v>6</v>
      </c>
      <c r="H6" s="17" t="s">
        <v>26</v>
      </c>
      <c r="I6" s="1">
        <f>COUNTIF(DATA!D3:D32,"Supplies")</f>
        <v>6</v>
      </c>
    </row>
    <row r="7" spans="2:11" x14ac:dyDescent="0.3">
      <c r="B7" s="1" t="s">
        <v>63</v>
      </c>
      <c r="C7" s="11">
        <f>C5/C4</f>
        <v>0.6333333333333333</v>
      </c>
    </row>
    <row r="8" spans="2:11" x14ac:dyDescent="0.3">
      <c r="B8" s="1" t="s">
        <v>66</v>
      </c>
      <c r="C8" s="12">
        <f>AVERAGE(DATA!F3:F32)</f>
        <v>23.533333333333335</v>
      </c>
    </row>
    <row r="9" spans="2:11" x14ac:dyDescent="0.3">
      <c r="B9" s="1" t="s">
        <v>67</v>
      </c>
      <c r="C9" s="13">
        <f>COUNTIF(DATA!F3:F32,"&lt;=24")/Dashboard!C4</f>
        <v>0.6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12</v>
      </c>
      <c r="C1" s="7"/>
      <c r="D1" s="7"/>
      <c r="E1" s="7"/>
      <c r="F1" s="7"/>
      <c r="G1" s="7"/>
      <c r="H1" s="7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10" t="s">
        <v>13</v>
      </c>
      <c r="C3" s="10" t="s">
        <v>14</v>
      </c>
      <c r="D3" s="10" t="s">
        <v>16</v>
      </c>
      <c r="E3" s="10" t="s">
        <v>15</v>
      </c>
      <c r="F3" s="10" t="s">
        <v>17</v>
      </c>
      <c r="G3" s="10" t="s">
        <v>18</v>
      </c>
      <c r="H3" s="10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2026-06-08T18:48:14Z</dcterms:modified>
</cp:coreProperties>
</file>