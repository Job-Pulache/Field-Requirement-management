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7D0E9215-B75E-48DF-8E63-383F3B5FBDDC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3" l="1"/>
  <c r="C34" i="3"/>
  <c r="C33" i="3"/>
  <c r="C32" i="3"/>
  <c r="C21" i="3"/>
  <c r="C20" i="3"/>
  <c r="C19" i="3"/>
  <c r="C18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<sst xmlns="http://schemas.openxmlformats.org/spreadsheetml/2006/main" count="190" uniqueCount="72">
  <si>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</si>
  <si>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</si>
  <si>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</si>
  <si>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</si>
  <si>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</si>
  <si>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</si>
  <si>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</si>
  <si>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</si>
  <si>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</si>
  <si>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</si>
  <si>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</si>
  <si>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</si>
  <si>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</si>
  <si>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</si>
  <si>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</si>
  <si>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</si>
  <si>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</si>
  <si>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</si>
  <si>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</si>
  <si>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</si>
  <si>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</si>
  <si>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</si>
  <si>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</si>
  <si>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</si>
  <si>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</si>
  <si>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</si>
  <si>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</si>
  <si>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</si>
  <si>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</si>
  <si>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</si>
  <si>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</si>
  <si>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</si>
  <si>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</si>
  <si>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</si>
  <si>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</si>
  <si>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</si>
  <si>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</si>
  <si>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</si>
  <si>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</si>
  <si>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</si>
  <si>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</si>
  <si>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</si>
  <si>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</si>
  <si>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</si>
  <si>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</si>
  <si>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</si>
  <si>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</si>
  <si>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</si>
  <si>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</si>
  <si>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</si>
  <si>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</si>
  <si>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</si>
  <si>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</si>
  <si>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</si>
  <si>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</si>
  <si>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</si>
  <si>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</si>
  <si>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</si>
  <si>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</si>
  <si>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</si>
  <si>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</si>
  <si>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</si>
  <si>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</si>
  <si>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</si>
  <si>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</si>
  <si>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</si>
  <si>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</si>
  <si>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</si>
  <si>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Field operation</t>
  </si>
  <si>
    <t>Field Operations</t>
  </si>
  <si>
    <t>Request by Area</t>
  </si>
  <si>
    <t>Request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</si>
</sst>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0" fillId="0" borderId="2" xfId="0" applyBorder="1"/>
    <xf numFmtId="0" fontId="0" fillId="0" borderId="0" xfId="0" quotePrefix="1"/>
    <xf numFmtId="9" fontId="0" fillId="0" borderId="1" xfId="1" applyFont="1" applyBorder="1"/>
    <xf numFmtId="164" fontId="0" fillId="0" borderId="1" xfId="1" applyNumberFormat="1" applyFont="1" applyBorder="1"/>
    <xf numFmtId="9" fontId="0" fillId="0" borderId="1" xfId="0" applyNumberFormat="1" applyBorder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0" fillId="0" borderId="1" xfId="0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Approval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E4-43D3-93A1-A709F36ACB12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3E4-43D3-93A1-A709F36ACB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Dashboard!$B$5:$B$6</c:f>
              <c:strCache>
                <c:ptCount val="2"/>
                <c:pt idx="0">
                  <c:v>Approved</c:v>
                </c:pt>
                <c:pt idx="1">
                  <c:v>Rejected</c:v>
                </c:pt>
              </c:strCache>
            </c:strRef>
          </c:cat>
          <c:val>
            <c:numRef>
              <c:f>Dashboard!$C$5:$C$6</c:f>
              <c:numCache>
                <c:formatCode>General</c:formatCode>
                <c:ptCount val="2"/>
                <c:pt idx="0">
                  <c:v>19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4-43D3-93A1-A709F36AC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 by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183-4617-8822-8D5C277E1E0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83-4617-8822-8D5C277E1E0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183-4617-8822-8D5C277E1E0B}"/>
              </c:ext>
            </c:extLst>
          </c:dPt>
          <c:dLbls>
            <c:delete val="1"/>
          </c:dLbls>
          <c:cat>
            <c:strRef>
              <c:f>Dashboard!$B$18:$B$21</c:f>
              <c:strCache>
                <c:ptCount val="4"/>
                <c:pt idx="0">
                  <c:v>Field operation</c:v>
                </c:pt>
                <c:pt idx="1">
                  <c:v>Logistics</c:v>
                </c:pt>
                <c:pt idx="2">
                  <c:v>Packaging</c:v>
                </c:pt>
                <c:pt idx="3">
                  <c:v>Administration</c:v>
                </c:pt>
              </c:strCache>
            </c:strRef>
          </c:cat>
          <c:val>
            <c:numRef>
              <c:f>Dashboard!$C$18:$C$21</c:f>
              <c:numCache>
                <c:formatCode>General</c:formatCode>
                <c:ptCount val="4"/>
                <c:pt idx="0">
                  <c:v>6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83-4617-8822-8D5C277E1E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 by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Dashboard!$B$32:$B$35</c:f>
              <c:strCache>
                <c:ptCount val="4"/>
                <c:pt idx="0">
                  <c:v>Materials</c:v>
                </c:pt>
                <c:pt idx="1">
                  <c:v>Personnel</c:v>
                </c:pt>
                <c:pt idx="2">
                  <c:v>Equipment</c:v>
                </c:pt>
                <c:pt idx="3">
                  <c:v>Supplies</c:v>
                </c:pt>
              </c:strCache>
            </c:strRef>
          </c:cat>
          <c:val>
            <c:numRef>
              <c:f>Dashboard!$C$32:$C$35</c:f>
              <c:numCache>
                <c:formatCode>General</c:formatCode>
                <c:ptCount val="4"/>
                <c:pt idx="0">
                  <c:v>8</c:v>
                </c:pt>
                <c:pt idx="1">
                  <c:v>6</c:v>
                </c:pt>
                <c:pt idx="2">
                  <c:v>10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064-4D0D-B5C3-47178B349D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135673</xdr:colOff>
      <xdr:row>0</xdr:row>
      <xdr:rowOff>152864</xdr:rowOff>
    </xdr:from>
    <xdr:to>
      <xdr:col>9</xdr:col>
      <xdr:colOff>399585</xdr:colOff>
      <xdr:row>11</xdr:row>
      <xdr:rowOff>176561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4DFF97-0A57-99EA-C7A7-4BF251A26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109838</xdr:colOff>
      <xdr:row>12</xdr:row>
      <xdr:rowOff>88559</xdr:rowOff>
    </xdr:from>
    <xdr:to>
      <xdr:col>9</xdr:col>
      <xdr:colOff>371706</xdr:colOff>
      <xdr:row>28</xdr:row>
      <xdr:rowOff>157975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503744-E311-7F84-53E1-92383E829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120806</xdr:colOff>
      <xdr:row>28</xdr:row>
      <xdr:rowOff>167268</xdr:rowOff>
    </xdr:from>
    <xdr:to>
      <xdr:col>9</xdr:col>
      <xdr:colOff>362415</xdr:colOff>
      <xdr:row>43</xdr:row>
      <xdr:rowOff>74342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9F03FC-3D40-42AA-B529-BEDF6858B7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D3" sqref="D3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15" t="s">
        <v>64</v>
      </c>
      <c r="B1" s="16"/>
      <c r="C1" s="16"/>
      <c r="D1" s="16"/>
      <c r="E1" s="16"/>
      <c r="F1" s="16"/>
      <c r="G1" s="16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69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69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69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69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69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69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6">
        <v>26</v>
      </c>
      <c r="G32" s="1" t="s">
        <v>58</v>
      </c>
    </row>
    <row r="33" spans="4:4" x14ac:dyDescent="0.3">
      <c r="D33" s="5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O35"/>
  <sheetViews>
    <sheetView tabSelected="1" zoomScale="51" workbookViewId="0">
      <selection activeCell="M14" sqref="M14"/>
    </sheetView>
  </sheetViews>
  <sheetFormatPr defaultRowHeight="14.4" x14ac:dyDescent="0.3"/>
  <cols>
    <col min="2" max="2" width="31.6640625" bestFit="1" customWidth="1"/>
    <col min="3" max="3" width="5.109375" bestFit="1" customWidth="1"/>
    <col min="5" max="5" width="31.5546875" bestFit="1" customWidth="1"/>
    <col min="6" max="6" width="6.44140625" customWidth="1"/>
    <col min="7" max="7" width="2" bestFit="1" customWidth="1"/>
    <col min="8" max="8" width="30.33203125" bestFit="1" customWidth="1"/>
    <col min="9" max="9" width="5.6640625" customWidth="1"/>
    <col min="10" max="10" width="12.88671875" bestFit="1" customWidth="1"/>
    <col min="12" max="12" width="2" bestFit="1" customWidth="1"/>
    <col min="13" max="13" width="32.109375" bestFit="1" customWidth="1"/>
    <col min="14" max="14" width="2" bestFit="1" customWidth="1"/>
    <col min="16" max="16" width="30.88671875" bestFit="1" customWidth="1"/>
    <col min="17" max="17" width="3" bestFit="1" customWidth="1"/>
  </cols>
  <sheetData>
    <row r="2" spans="2:15" ht="25.2" x14ac:dyDescent="0.5">
      <c r="B2" s="13" t="s">
        <v>65</v>
      </c>
      <c r="C2" s="13"/>
      <c r="D2" s="11"/>
      <c r="J2" s="12"/>
      <c r="K2" s="12"/>
      <c r="O2" s="12"/>
    </row>
    <row r="3" spans="2:15" x14ac:dyDescent="0.3">
      <c r="B3" s="1"/>
      <c r="C3" s="1"/>
    </row>
    <row r="4" spans="2:15" x14ac:dyDescent="0.3">
      <c r="B4" s="1" t="s">
        <v>62</v>
      </c>
      <c r="C4" s="1">
        <f>COUNTA(DATA!A3:A32)</f>
        <v>30</v>
      </c>
    </row>
    <row r="5" spans="2:15" x14ac:dyDescent="0.3">
      <c r="B5" s="1" t="s">
        <v>7</v>
      </c>
      <c r="C5" s="1">
        <f>COUNTIF(DATA!E3:E32,"Approved")</f>
        <v>19</v>
      </c>
    </row>
    <row r="6" spans="2:15" x14ac:dyDescent="0.3">
      <c r="B6" s="1" t="s">
        <v>23</v>
      </c>
      <c r="C6" s="1">
        <f>COUNTIF(DATA!E3:E32,"Rejected")</f>
        <v>11</v>
      </c>
    </row>
    <row r="7" spans="2:15" x14ac:dyDescent="0.3">
      <c r="B7" s="1" t="s">
        <v>63</v>
      </c>
      <c r="C7" s="8">
        <f>C5/C4</f>
        <v>0.6333333333333333</v>
      </c>
    </row>
    <row r="8" spans="2:15" x14ac:dyDescent="0.3">
      <c r="B8" s="1" t="s">
        <v>66</v>
      </c>
      <c r="C8" s="9">
        <f>AVERAGE(DATA!F3:F32)</f>
        <v>23.533333333333335</v>
      </c>
    </row>
    <row r="9" spans="2:15" x14ac:dyDescent="0.3">
      <c r="B9" s="1" t="s">
        <v>67</v>
      </c>
      <c r="C9" s="10">
        <f>COUNTIF(DATA!F3:F32,"&lt;=24")/Dashboard!C4</f>
        <v>0.6</v>
      </c>
    </row>
    <row r="17" spans="2:3" ht="25.2" x14ac:dyDescent="0.5">
      <c r="B17" s="13" t="s">
        <v>70</v>
      </c>
      <c r="C17" s="13"/>
    </row>
    <row r="18" spans="2:3" x14ac:dyDescent="0.3">
      <c r="B18" s="1" t="s">
        <v>68</v>
      </c>
      <c r="C18" s="1">
        <f>COUNTIF(DATA!C3:C32,"Field Operations")</f>
        <v>6</v>
      </c>
    </row>
    <row r="19" spans="2:3" x14ac:dyDescent="0.3">
      <c r="B19" s="1" t="s">
        <v>21</v>
      </c>
      <c r="C19" s="1">
        <f>COUNTIF(DATA!C3:C32,"Logistics")</f>
        <v>9</v>
      </c>
    </row>
    <row r="20" spans="2:3" x14ac:dyDescent="0.3">
      <c r="B20" s="1" t="s">
        <v>25</v>
      </c>
      <c r="C20" s="1">
        <f>COUNTIF(DATA!C3:C32,"Packaging")</f>
        <v>9</v>
      </c>
    </row>
    <row r="21" spans="2:3" x14ac:dyDescent="0.3">
      <c r="B21" s="1" t="s">
        <v>30</v>
      </c>
      <c r="C21" s="1">
        <f>COUNTIF(DATA!C3:C32,"Administration")</f>
        <v>6</v>
      </c>
    </row>
    <row r="31" spans="2:3" ht="25.2" x14ac:dyDescent="0.5">
      <c r="B31" s="13" t="s">
        <v>71</v>
      </c>
      <c r="C31" s="13"/>
    </row>
    <row r="32" spans="2:3" x14ac:dyDescent="0.3">
      <c r="B32" s="14" t="s">
        <v>32</v>
      </c>
      <c r="C32" s="1">
        <f>COUNTIF(DATA!D3:D32,"Materials")</f>
        <v>8</v>
      </c>
    </row>
    <row r="33" spans="2:3" x14ac:dyDescent="0.3">
      <c r="B33" s="14" t="s">
        <v>60</v>
      </c>
      <c r="C33" s="1">
        <f>COUNTIF(DATA!D3:D32,"Personnel")</f>
        <v>6</v>
      </c>
    </row>
    <row r="34" spans="2:3" x14ac:dyDescent="0.3">
      <c r="B34" s="14" t="s">
        <v>22</v>
      </c>
      <c r="C34" s="1">
        <f>COUNTIF(DATA!D3:D32,"Equipment")</f>
        <v>10</v>
      </c>
    </row>
    <row r="35" spans="2:3" x14ac:dyDescent="0.3">
      <c r="B35" s="14" t="s">
        <v>26</v>
      </c>
      <c r="C35" s="1">
        <f>COUNTIF(DATA!D3:D32,"Supplies")</f>
        <v>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15" t="s">
        <v>12</v>
      </c>
      <c r="C1" s="16"/>
      <c r="D1" s="16"/>
      <c r="E1" s="16"/>
      <c r="F1" s="16"/>
      <c r="G1" s="16"/>
      <c r="H1" s="16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7" t="s">
        <v>13</v>
      </c>
      <c r="C3" s="7" t="s">
        <v>14</v>
      </c>
      <c r="D3" s="7" t="s">
        <v>16</v>
      </c>
      <c r="E3" s="7" t="s">
        <v>15</v>
      </c>
      <c r="F3" s="7" t="s">
        <v>17</v>
      </c>
      <c r="G3" s="7" t="s">
        <v>18</v>
      </c>
      <c r="H3" s="7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2026-06-10T04:14:27Z</dcterms:modified>
</cp:coreProperties>
</file>